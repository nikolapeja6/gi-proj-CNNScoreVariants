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gi-proj\docs\"/>
    </mc:Choice>
  </mc:AlternateContent>
  <xr:revisionPtr revIDLastSave="0" documentId="13_ncr:1_{AF090498-92BC-4C57-8A69-B7ABC54E562B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GATK4 Fin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1" i="1" l="1"/>
  <c r="E41" i="1"/>
  <c r="E31" i="1"/>
  <c r="E21" i="1"/>
  <c r="E11" i="1"/>
  <c r="B51" i="1"/>
  <c r="B41" i="1"/>
  <c r="B31" i="1"/>
  <c r="B21" i="1"/>
  <c r="B11" i="1"/>
  <c r="D11" i="1"/>
  <c r="D21" i="1"/>
  <c r="D31" i="1"/>
  <c r="D41" i="1"/>
  <c r="D51" i="1"/>
  <c r="C51" i="1"/>
  <c r="C41" i="1"/>
  <c r="C31" i="1"/>
  <c r="C21" i="1"/>
  <c r="C11" i="1"/>
</calcChain>
</file>

<file path=xl/sharedStrings.xml><?xml version="1.0" encoding="utf-8"?>
<sst xmlns="http://schemas.openxmlformats.org/spreadsheetml/2006/main" count="116" uniqueCount="18">
  <si>
    <t>SNP Precision</t>
  </si>
  <si>
    <t>Unfiltered</t>
  </si>
  <si>
    <t>CNN_1D &lt; -5.0</t>
  </si>
  <si>
    <t>CNN_1D &lt; -6.0</t>
  </si>
  <si>
    <t>CNN_1D &lt; -7.0</t>
  </si>
  <si>
    <t>HG001-NA12878-50x</t>
  </si>
  <si>
    <t>HG002-NA24385-50x</t>
  </si>
  <si>
    <t>HG003.hs37d5.60x.1</t>
  </si>
  <si>
    <t>HG004.hs37d5.60x.1</t>
  </si>
  <si>
    <t>HG005.150424_S1</t>
  </si>
  <si>
    <t>HG006.FATHER.filtered</t>
  </si>
  <si>
    <t>HG007.MOTHER.filtered</t>
  </si>
  <si>
    <t>ERR1341796</t>
  </si>
  <si>
    <t>SNP Recall</t>
  </si>
  <si>
    <t>SNP F-measure</t>
  </si>
  <si>
    <t>INDEL Precision</t>
  </si>
  <si>
    <t>INDEL Recall</t>
  </si>
  <si>
    <t>INDEL F-measure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</si>
</sst>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4" x14ac:knownFonts="1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165" fontId="1" fillId="0" borderId="0" xfId="0" applyNumberFormat="1" applyFont="1" applyAlignment="1"/>
    <xf numFmtId="165" fontId="2" fillId="0" borderId="0" xfId="0" applyNumberFormat="1" applyFont="1" applyAlignment="1"/>
    <xf numFmtId="16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/>
            </a:pPr>
            <a:r>
              <a:rPr lang="en-US"/>
              <a:t>SNP F-measure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'GATK4 Final'!$B$21</c:f>
              <c:strCache>
                <c:ptCount val="1"/>
                <c:pt idx="0">
                  <c:v>Unfiltered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'GATK4 Final'!$A$22:$A$29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Final'!$B$22:$B$29</c:f>
              <c:numCache>
                <c:formatCode>General</c:formatCode>
                <c:ptCount val="8"/>
                <c:pt idx="0">
                  <c:v>99.875200000000007</c:v>
                </c:pt>
                <c:pt idx="1">
                  <c:v>99.874899999999997</c:v>
                </c:pt>
                <c:pt idx="2">
                  <c:v>99.8583</c:v>
                </c:pt>
                <c:pt idx="3">
                  <c:v>99.852500000000006</c:v>
                </c:pt>
                <c:pt idx="4">
                  <c:v>99.877200000000002</c:v>
                </c:pt>
                <c:pt idx="5">
                  <c:v>99.887500000000003</c:v>
                </c:pt>
                <c:pt idx="6">
                  <c:v>99.889700000000005</c:v>
                </c:pt>
                <c:pt idx="7">
                  <c:v>98.361099999999993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300-4084-9250-5E89E9B260C6}"/>
            </c:ext>
          </c:extLst>
        </c:ser>
        <c:ser>
          <c:idx val="1"/>
          <c:order val="1"/>
          <c:tx>
            <c:strRef>
              <c:f>'GATK4 Final'!$C$21</c:f>
              <c:strCache>
                <c:ptCount val="1"/>
                <c:pt idx="0">
                  <c:v>CNN_1D &lt; -5.0</c:v>
                </c:pt>
              </c:strCache>
            </c:strRef>
          </c:tx>
          <c:spPr>
            <a:solidFill>
              <a:srgbClr val="A4C2F4"/>
            </a:solidFill>
          </c:spPr>
          <c:invertIfNegative val="1"/>
          <c:cat>
            <c:strRef>
              <c:f>'GATK4 Final'!$A$22:$A$29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Final'!$C$22:$C$29</c:f>
              <c:numCache>
                <c:formatCode>0.0000</c:formatCode>
                <c:ptCount val="8"/>
                <c:pt idx="0">
                  <c:v>99.894800000000004</c:v>
                </c:pt>
                <c:pt idx="1">
                  <c:v>99.878799999999998</c:v>
                </c:pt>
                <c:pt idx="2">
                  <c:v>99.858599999999996</c:v>
                </c:pt>
                <c:pt idx="3">
                  <c:v>99.831299999999999</c:v>
                </c:pt>
                <c:pt idx="4">
                  <c:v>99.889200000000002</c:v>
                </c:pt>
                <c:pt idx="5">
                  <c:v>99.906300000000002</c:v>
                </c:pt>
                <c:pt idx="6">
                  <c:v>99.910899999999998</c:v>
                </c:pt>
                <c:pt idx="7">
                  <c:v>98.526200000000003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C300-4084-9250-5E89E9B260C6}"/>
            </c:ext>
          </c:extLst>
        </c:ser>
        <c:ser>
          <c:idx val="2"/>
          <c:order val="2"/>
          <c:tx>
            <c:strRef>
              <c:f>'GATK4 Final'!$D$21</c:f>
              <c:strCache>
                <c:ptCount val="1"/>
                <c:pt idx="0">
                  <c:v>CNN_1D &lt; -6.0</c:v>
                </c:pt>
              </c:strCache>
            </c:strRef>
          </c:tx>
          <c:spPr>
            <a:solidFill>
              <a:srgbClr val="073763"/>
            </a:solidFill>
          </c:spPr>
          <c:invertIfNegative val="1"/>
          <c:cat>
            <c:strRef>
              <c:f>'GATK4 Final'!$A$22:$A$29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Final'!$D$22:$D$29</c:f>
              <c:numCache>
                <c:formatCode>General</c:formatCode>
                <c:ptCount val="8"/>
                <c:pt idx="0">
                  <c:v>99.903800000000004</c:v>
                </c:pt>
                <c:pt idx="1">
                  <c:v>99.897199999999998</c:v>
                </c:pt>
                <c:pt idx="2">
                  <c:v>99.881699999999995</c:v>
                </c:pt>
                <c:pt idx="3">
                  <c:v>99.872500000000002</c:v>
                </c:pt>
                <c:pt idx="4">
                  <c:v>99.893500000000003</c:v>
                </c:pt>
                <c:pt idx="5">
                  <c:v>99.919200000000004</c:v>
                </c:pt>
                <c:pt idx="6">
                  <c:v>99.923299999999998</c:v>
                </c:pt>
                <c:pt idx="7">
                  <c:v>98.539199999999994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C300-4084-9250-5E89E9B260C6}"/>
            </c:ext>
          </c:extLst>
        </c:ser>
        <c:ser>
          <c:idx val="3"/>
          <c:order val="3"/>
          <c:tx>
            <c:strRef>
              <c:f>'GATK4 Final'!$E$21</c:f>
              <c:strCache>
                <c:ptCount val="1"/>
                <c:pt idx="0">
                  <c:v>CNN_1D &lt; -7.0</c:v>
                </c:pt>
              </c:strCache>
            </c:strRef>
          </c:tx>
          <c:invertIfNegative val="0"/>
          <c:cat>
            <c:strRef>
              <c:f>'GATK4 Final'!$A$22:$A$29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Final'!$E$22:$E$29</c:f>
              <c:numCache>
                <c:formatCode>General</c:formatCode>
                <c:ptCount val="8"/>
                <c:pt idx="0">
                  <c:v>99.898399999999995</c:v>
                </c:pt>
                <c:pt idx="1">
                  <c:v>99.8977</c:v>
                </c:pt>
                <c:pt idx="2">
                  <c:v>99.882999999999996</c:v>
                </c:pt>
                <c:pt idx="3">
                  <c:v>99.882400000000004</c:v>
                </c:pt>
                <c:pt idx="4">
                  <c:v>99.8904</c:v>
                </c:pt>
                <c:pt idx="5">
                  <c:v>99.916300000000007</c:v>
                </c:pt>
                <c:pt idx="6">
                  <c:v>99.919399999999996</c:v>
                </c:pt>
                <c:pt idx="7">
                  <c:v>98.516099999999994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00-4084-9250-5E89E9B26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86115"/>
        <c:axId val="1940498874"/>
      </c:barChart>
      <c:catAx>
        <c:axId val="7708861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1940498874"/>
        <c:crosses val="autoZero"/>
        <c:auto val="1"/>
        <c:lblAlgn val="ctr"/>
        <c:lblOffset val="100"/>
        <c:noMultiLvlLbl val="1"/>
      </c:catAx>
      <c:valAx>
        <c:axId val="1940498874"/>
        <c:scaling>
          <c:orientation val="minMax"/>
          <c:max val="100"/>
          <c:min val="9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770886115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/>
            </a:pPr>
            <a:r>
              <a:rPr lang="en-US"/>
              <a:t>INDEL F-measure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'GATK4 Final'!$B$51</c:f>
              <c:strCache>
                <c:ptCount val="1"/>
                <c:pt idx="0">
                  <c:v>Unfiltered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'GATK4 Final'!$A$52:$A$59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Final'!$B$52:$B$59</c:f>
              <c:numCache>
                <c:formatCode>General</c:formatCode>
                <c:ptCount val="8"/>
                <c:pt idx="0">
                  <c:v>99.566999999999993</c:v>
                </c:pt>
                <c:pt idx="1">
                  <c:v>99.628500000000003</c:v>
                </c:pt>
                <c:pt idx="2">
                  <c:v>99.642099999999999</c:v>
                </c:pt>
                <c:pt idx="3">
                  <c:v>99.739099999999993</c:v>
                </c:pt>
                <c:pt idx="4">
                  <c:v>99.543899999999994</c:v>
                </c:pt>
                <c:pt idx="5">
                  <c:v>99.786799999999999</c:v>
                </c:pt>
                <c:pt idx="6">
                  <c:v>99.778300000000002</c:v>
                </c:pt>
                <c:pt idx="7">
                  <c:v>89.095600000000005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5BC-44ED-BFBE-FA2C2D0E730B}"/>
            </c:ext>
          </c:extLst>
        </c:ser>
        <c:ser>
          <c:idx val="1"/>
          <c:order val="1"/>
          <c:tx>
            <c:strRef>
              <c:f>'GATK4 Final'!$C$51</c:f>
              <c:strCache>
                <c:ptCount val="1"/>
                <c:pt idx="0">
                  <c:v>CNN_1D &lt; -5.0</c:v>
                </c:pt>
              </c:strCache>
            </c:strRef>
          </c:tx>
          <c:spPr>
            <a:solidFill>
              <a:srgbClr val="A4C2F4"/>
            </a:solidFill>
          </c:spPr>
          <c:invertIfNegative val="1"/>
          <c:cat>
            <c:strRef>
              <c:f>'GATK4 Final'!$A$52:$A$59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Final'!$C$52:$C$59</c:f>
              <c:numCache>
                <c:formatCode>0.0000</c:formatCode>
                <c:ptCount val="8"/>
                <c:pt idx="0">
                  <c:v>99.590599999999995</c:v>
                </c:pt>
                <c:pt idx="1">
                  <c:v>99.638000000000005</c:v>
                </c:pt>
                <c:pt idx="2">
                  <c:v>99.653300000000002</c:v>
                </c:pt>
                <c:pt idx="3">
                  <c:v>99.745099999999994</c:v>
                </c:pt>
                <c:pt idx="4">
                  <c:v>99.555899999999994</c:v>
                </c:pt>
                <c:pt idx="5">
                  <c:v>99.810599999999994</c:v>
                </c:pt>
                <c:pt idx="6">
                  <c:v>99.805199999999999</c:v>
                </c:pt>
                <c:pt idx="7">
                  <c:v>89.349500000000006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F5BC-44ED-BFBE-FA2C2D0E730B}"/>
            </c:ext>
          </c:extLst>
        </c:ser>
        <c:ser>
          <c:idx val="2"/>
          <c:order val="2"/>
          <c:tx>
            <c:strRef>
              <c:f>'GATK4 Final'!$D$51</c:f>
              <c:strCache>
                <c:ptCount val="1"/>
                <c:pt idx="0">
                  <c:v>CNN_1D &lt; -6.0</c:v>
                </c:pt>
              </c:strCache>
            </c:strRef>
          </c:tx>
          <c:spPr>
            <a:solidFill>
              <a:srgbClr val="073763"/>
            </a:solidFill>
          </c:spPr>
          <c:invertIfNegative val="1"/>
          <c:cat>
            <c:strRef>
              <c:f>'GATK4 Final'!$A$52:$A$59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Final'!$D$52:$D$59</c:f>
              <c:numCache>
                <c:formatCode>General</c:formatCode>
                <c:ptCount val="8"/>
                <c:pt idx="0">
                  <c:v>99.592500000000001</c:v>
                </c:pt>
                <c:pt idx="1">
                  <c:v>99.645499999999998</c:v>
                </c:pt>
                <c:pt idx="2">
                  <c:v>99.6571</c:v>
                </c:pt>
                <c:pt idx="3">
                  <c:v>99.756699999999995</c:v>
                </c:pt>
                <c:pt idx="4">
                  <c:v>99.556100000000001</c:v>
                </c:pt>
                <c:pt idx="5">
                  <c:v>99.811700000000002</c:v>
                </c:pt>
                <c:pt idx="6">
                  <c:v>99.805899999999994</c:v>
                </c:pt>
                <c:pt idx="7">
                  <c:v>89.312600000000003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F5BC-44ED-BFBE-FA2C2D0E730B}"/>
            </c:ext>
          </c:extLst>
        </c:ser>
        <c:ser>
          <c:idx val="3"/>
          <c:order val="3"/>
          <c:tx>
            <c:strRef>
              <c:f>'GATK4 Final'!$E$51</c:f>
              <c:strCache>
                <c:ptCount val="1"/>
                <c:pt idx="0">
                  <c:v>CNN_1D &lt; -7.0</c:v>
                </c:pt>
              </c:strCache>
            </c:strRef>
          </c:tx>
          <c:invertIfNegative val="0"/>
          <c:cat>
            <c:strRef>
              <c:f>'GATK4 Final'!$A$52:$A$59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Final'!$E$52:$E$59</c:f>
              <c:numCache>
                <c:formatCode>General</c:formatCode>
                <c:ptCount val="8"/>
                <c:pt idx="0">
                  <c:v>99.585300000000004</c:v>
                </c:pt>
                <c:pt idx="1">
                  <c:v>99.643900000000002</c:v>
                </c:pt>
                <c:pt idx="2">
                  <c:v>99.655799999999999</c:v>
                </c:pt>
                <c:pt idx="3">
                  <c:v>99.757000000000005</c:v>
                </c:pt>
                <c:pt idx="4">
                  <c:v>99.553799999999995</c:v>
                </c:pt>
                <c:pt idx="5">
                  <c:v>99.806399999999996</c:v>
                </c:pt>
                <c:pt idx="6">
                  <c:v>99.799499999999995</c:v>
                </c:pt>
                <c:pt idx="7">
                  <c:v>89.258600000000001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EF2-BCF2-303EECE8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364268"/>
        <c:axId val="1549393462"/>
      </c:barChart>
      <c:catAx>
        <c:axId val="196436426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1549393462"/>
        <c:crosses val="autoZero"/>
        <c:auto val="1"/>
        <c:lblAlgn val="ctr"/>
        <c:lblOffset val="100"/>
        <c:noMultiLvlLbl val="1"/>
      </c:catAx>
      <c:valAx>
        <c:axId val="1549393462"/>
        <c:scaling>
          <c:orientation val="minMax"/>
          <c:max val="100"/>
          <c:min val="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19643642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/>
            </a:pPr>
            <a:r>
              <a:rPr lang="en-US"/>
              <a:t>SNP Precision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'GATK4 Final'!$B$1</c:f>
              <c:strCache>
                <c:ptCount val="1"/>
                <c:pt idx="0">
                  <c:v>Unfiltered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'GATK4 Final'!$A$2:$A$9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Final'!$B$2:$B$9</c:f>
              <c:numCache>
                <c:formatCode>General</c:formatCode>
                <c:ptCount val="8"/>
                <c:pt idx="0">
                  <c:v>99.7804</c:v>
                </c:pt>
                <c:pt idx="1">
                  <c:v>99.803799999999995</c:v>
                </c:pt>
                <c:pt idx="2">
                  <c:v>99.764700000000005</c:v>
                </c:pt>
                <c:pt idx="3">
                  <c:v>99.744299999999996</c:v>
                </c:pt>
                <c:pt idx="4">
                  <c:v>99.821200000000005</c:v>
                </c:pt>
                <c:pt idx="5">
                  <c:v>99.803899999999999</c:v>
                </c:pt>
                <c:pt idx="6">
                  <c:v>99.806399999999996</c:v>
                </c:pt>
                <c:pt idx="7">
                  <c:v>98.431700000000006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ACF-4C88-8745-C012094F6D80}"/>
            </c:ext>
          </c:extLst>
        </c:ser>
        <c:ser>
          <c:idx val="1"/>
          <c:order val="1"/>
          <c:tx>
            <c:strRef>
              <c:f>'GATK4 Final'!$C$1</c:f>
              <c:strCache>
                <c:ptCount val="1"/>
                <c:pt idx="0">
                  <c:v>CNN_1D &lt; -5.0</c:v>
                </c:pt>
              </c:strCache>
            </c:strRef>
          </c:tx>
          <c:spPr>
            <a:solidFill>
              <a:srgbClr val="A4C2F4"/>
            </a:solidFill>
          </c:spPr>
          <c:invertIfNegative val="1"/>
          <c:cat>
            <c:strRef>
              <c:f>'GATK4 Final'!$A$2:$A$9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Final'!$C$2:$C$9</c:f>
              <c:numCache>
                <c:formatCode>0.0000</c:formatCode>
                <c:ptCount val="8"/>
                <c:pt idx="0">
                  <c:v>99.881699999999995</c:v>
                </c:pt>
                <c:pt idx="1">
                  <c:v>99.915000000000006</c:v>
                </c:pt>
                <c:pt idx="2">
                  <c:v>99.888099999999994</c:v>
                </c:pt>
                <c:pt idx="3">
                  <c:v>99.898099999999999</c:v>
                </c:pt>
                <c:pt idx="4">
                  <c:v>99.869699999999995</c:v>
                </c:pt>
                <c:pt idx="5">
                  <c:v>99.918599999999998</c:v>
                </c:pt>
                <c:pt idx="6">
                  <c:v>99.9251</c:v>
                </c:pt>
                <c:pt idx="7">
                  <c:v>99.049800000000005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4ACF-4C88-8745-C012094F6D80}"/>
            </c:ext>
          </c:extLst>
        </c:ser>
        <c:ser>
          <c:idx val="2"/>
          <c:order val="2"/>
          <c:tx>
            <c:strRef>
              <c:f>'GATK4 Final'!$D$1</c:f>
              <c:strCache>
                <c:ptCount val="1"/>
                <c:pt idx="0">
                  <c:v>CNN_1D &lt; -6.0</c:v>
                </c:pt>
              </c:strCache>
            </c:strRef>
          </c:tx>
          <c:spPr>
            <a:solidFill>
              <a:srgbClr val="073763"/>
            </a:solidFill>
          </c:spPr>
          <c:invertIfNegative val="1"/>
          <c:cat>
            <c:strRef>
              <c:f>'GATK4 Final'!$A$2:$A$9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Final'!$D$2:$D$9</c:f>
              <c:numCache>
                <c:formatCode>General</c:formatCode>
                <c:ptCount val="8"/>
                <c:pt idx="0">
                  <c:v>99.856899999999996</c:v>
                </c:pt>
                <c:pt idx="1">
                  <c:v>99.888800000000003</c:v>
                </c:pt>
                <c:pt idx="2">
                  <c:v>99.858199999999997</c:v>
                </c:pt>
                <c:pt idx="3">
                  <c:v>99.865300000000005</c:v>
                </c:pt>
                <c:pt idx="4">
                  <c:v>99.860399999999998</c:v>
                </c:pt>
                <c:pt idx="5">
                  <c:v>99.893900000000002</c:v>
                </c:pt>
                <c:pt idx="6">
                  <c:v>99.899299999999997</c:v>
                </c:pt>
                <c:pt idx="7">
                  <c:v>98.920599999999993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4ACF-4C88-8745-C012094F6D80}"/>
            </c:ext>
          </c:extLst>
        </c:ser>
        <c:ser>
          <c:idx val="3"/>
          <c:order val="3"/>
          <c:tx>
            <c:strRef>
              <c:f>'GATK4 Final'!$E$1</c:f>
              <c:strCache>
                <c:ptCount val="1"/>
                <c:pt idx="0">
                  <c:v>CNN_1D &lt; -7.0</c:v>
                </c:pt>
              </c:strCache>
            </c:strRef>
          </c:tx>
          <c:invertIfNegative val="0"/>
          <c:cat>
            <c:strRef>
              <c:f>'GATK4 Final'!$A$2:$A$9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Final'!$E$2:$E$9</c:f>
              <c:numCache>
                <c:formatCode>General</c:formatCode>
                <c:ptCount val="8"/>
                <c:pt idx="0">
                  <c:v>99.832300000000004</c:v>
                </c:pt>
                <c:pt idx="1">
                  <c:v>99.864199999999997</c:v>
                </c:pt>
                <c:pt idx="2">
                  <c:v>99.831199999999995</c:v>
                </c:pt>
                <c:pt idx="3">
                  <c:v>99.8339</c:v>
                </c:pt>
                <c:pt idx="4">
                  <c:v>99.849000000000004</c:v>
                </c:pt>
                <c:pt idx="5">
                  <c:v>99.871600000000001</c:v>
                </c:pt>
                <c:pt idx="6">
                  <c:v>99.873199999999997</c:v>
                </c:pt>
                <c:pt idx="7">
                  <c:v>98.798900000000003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CF-4C88-8745-C012094F6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86115"/>
        <c:axId val="1940498874"/>
      </c:barChart>
      <c:catAx>
        <c:axId val="7708861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1940498874"/>
        <c:crosses val="autoZero"/>
        <c:auto val="1"/>
        <c:lblAlgn val="ctr"/>
        <c:lblOffset val="100"/>
        <c:noMultiLvlLbl val="1"/>
      </c:catAx>
      <c:valAx>
        <c:axId val="1940498874"/>
        <c:scaling>
          <c:orientation val="minMax"/>
          <c:min val="9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770886115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/>
            </a:pPr>
            <a:r>
              <a:rPr lang="en-US"/>
              <a:t>SNP Recall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'GATK4 Final'!$B$11</c:f>
              <c:strCache>
                <c:ptCount val="1"/>
                <c:pt idx="0">
                  <c:v>Unfiltered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'GATK4 Final'!$A$12:$A$19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Final'!$B$12:$B$19</c:f>
              <c:numCache>
                <c:formatCode>General</c:formatCode>
                <c:ptCount val="8"/>
                <c:pt idx="0">
                  <c:v>99.970299999999995</c:v>
                </c:pt>
                <c:pt idx="1">
                  <c:v>99.946200000000005</c:v>
                </c:pt>
                <c:pt idx="2">
                  <c:v>99.952200000000005</c:v>
                </c:pt>
                <c:pt idx="3">
                  <c:v>99.960899999999995</c:v>
                </c:pt>
                <c:pt idx="4">
                  <c:v>99.933300000000003</c:v>
                </c:pt>
                <c:pt idx="5">
                  <c:v>99.971100000000007</c:v>
                </c:pt>
                <c:pt idx="6">
                  <c:v>99.973299999999995</c:v>
                </c:pt>
                <c:pt idx="7">
                  <c:v>98.290599999999998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96-4F69-8841-D53175B7C824}"/>
            </c:ext>
          </c:extLst>
        </c:ser>
        <c:ser>
          <c:idx val="1"/>
          <c:order val="1"/>
          <c:tx>
            <c:strRef>
              <c:f>'GATK4 Final'!$C$11</c:f>
              <c:strCache>
                <c:ptCount val="1"/>
                <c:pt idx="0">
                  <c:v>CNN_1D &lt; -5.0</c:v>
                </c:pt>
              </c:strCache>
            </c:strRef>
          </c:tx>
          <c:spPr>
            <a:solidFill>
              <a:srgbClr val="A4C2F4"/>
            </a:solidFill>
          </c:spPr>
          <c:invertIfNegative val="1"/>
          <c:cat>
            <c:strRef>
              <c:f>'GATK4 Final'!$A$12:$A$19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Final'!$C$12:$C$19</c:f>
              <c:numCache>
                <c:formatCode>0.0000</c:formatCode>
                <c:ptCount val="8"/>
                <c:pt idx="0">
                  <c:v>99.908000000000001</c:v>
                </c:pt>
                <c:pt idx="1">
                  <c:v>99.842500000000001</c:v>
                </c:pt>
                <c:pt idx="2">
                  <c:v>99.829099999999997</c:v>
                </c:pt>
                <c:pt idx="3">
                  <c:v>99.764600000000002</c:v>
                </c:pt>
                <c:pt idx="4">
                  <c:v>99.908699999999996</c:v>
                </c:pt>
                <c:pt idx="5">
                  <c:v>99.894099999999995</c:v>
                </c:pt>
                <c:pt idx="6">
                  <c:v>99.896799999999999</c:v>
                </c:pt>
                <c:pt idx="7">
                  <c:v>98.008200000000002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296-4F69-8841-D53175B7C824}"/>
            </c:ext>
          </c:extLst>
        </c:ser>
        <c:ser>
          <c:idx val="2"/>
          <c:order val="2"/>
          <c:tx>
            <c:strRef>
              <c:f>'GATK4 Final'!$D$11</c:f>
              <c:strCache>
                <c:ptCount val="1"/>
                <c:pt idx="0">
                  <c:v>CNN_1D &lt; -6.0</c:v>
                </c:pt>
              </c:strCache>
            </c:strRef>
          </c:tx>
          <c:spPr>
            <a:solidFill>
              <a:srgbClr val="073763"/>
            </a:solidFill>
          </c:spPr>
          <c:invertIfNegative val="1"/>
          <c:cat>
            <c:strRef>
              <c:f>'GATK4 Final'!$A$12:$A$19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Final'!$D$12:$D$19</c:f>
              <c:numCache>
                <c:formatCode>General</c:formatCode>
                <c:ptCount val="8"/>
                <c:pt idx="0">
                  <c:v>99.950800000000001</c:v>
                </c:pt>
                <c:pt idx="1">
                  <c:v>99.905600000000007</c:v>
                </c:pt>
                <c:pt idx="2">
                  <c:v>99.905100000000004</c:v>
                </c:pt>
                <c:pt idx="3">
                  <c:v>99.8797</c:v>
                </c:pt>
                <c:pt idx="4">
                  <c:v>99.926599999999993</c:v>
                </c:pt>
                <c:pt idx="5">
                  <c:v>99.944500000000005</c:v>
                </c:pt>
                <c:pt idx="6">
                  <c:v>99.947400000000002</c:v>
                </c:pt>
                <c:pt idx="7">
                  <c:v>98.160700000000006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6296-4F69-8841-D53175B7C824}"/>
            </c:ext>
          </c:extLst>
        </c:ser>
        <c:ser>
          <c:idx val="3"/>
          <c:order val="3"/>
          <c:tx>
            <c:strRef>
              <c:f>'GATK4 Final'!$E$11</c:f>
              <c:strCache>
                <c:ptCount val="1"/>
                <c:pt idx="0">
                  <c:v>CNN_1D &lt; -7.0</c:v>
                </c:pt>
              </c:strCache>
            </c:strRef>
          </c:tx>
          <c:invertIfNegative val="0"/>
          <c:cat>
            <c:strRef>
              <c:f>'GATK4 Final'!$A$12:$A$19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Final'!$E$12:$E$19</c:f>
              <c:numCache>
                <c:formatCode>General</c:formatCode>
                <c:ptCount val="8"/>
                <c:pt idx="0">
                  <c:v>99.964500000000001</c:v>
                </c:pt>
                <c:pt idx="1">
                  <c:v>99.931299999999993</c:v>
                </c:pt>
                <c:pt idx="2">
                  <c:v>99.934899999999999</c:v>
                </c:pt>
                <c:pt idx="3">
                  <c:v>99.930899999999994</c:v>
                </c:pt>
                <c:pt idx="4">
                  <c:v>99.931799999999996</c:v>
                </c:pt>
                <c:pt idx="5">
                  <c:v>99.960999999999999</c:v>
                </c:pt>
                <c:pt idx="6">
                  <c:v>99.965699999999998</c:v>
                </c:pt>
                <c:pt idx="7">
                  <c:v>98.234800000000007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96-4F69-8841-D53175B7C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86115"/>
        <c:axId val="1940498874"/>
      </c:barChart>
      <c:catAx>
        <c:axId val="7708861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1940498874"/>
        <c:crosses val="autoZero"/>
        <c:auto val="1"/>
        <c:lblAlgn val="ctr"/>
        <c:lblOffset val="100"/>
        <c:noMultiLvlLbl val="1"/>
      </c:catAx>
      <c:valAx>
        <c:axId val="1940498874"/>
        <c:scaling>
          <c:orientation val="minMax"/>
          <c:max val="100"/>
          <c:min val="9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770886115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/>
            </a:pPr>
            <a:r>
              <a:rPr lang="en-US"/>
              <a:t>INDEL</a:t>
            </a:r>
            <a:r>
              <a:rPr lang="en-US" baseline="0"/>
              <a:t> Precision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'GATK4 Final'!$B$31</c:f>
              <c:strCache>
                <c:ptCount val="1"/>
                <c:pt idx="0">
                  <c:v>Unfiltered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'GATK4 Final'!$A$32:$A$39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Final'!$B$32:$B$39</c:f>
              <c:numCache>
                <c:formatCode>General</c:formatCode>
                <c:ptCount val="8"/>
                <c:pt idx="0">
                  <c:v>99.5364</c:v>
                </c:pt>
                <c:pt idx="1">
                  <c:v>99.625399999999999</c:v>
                </c:pt>
                <c:pt idx="2">
                  <c:v>99.619500000000002</c:v>
                </c:pt>
                <c:pt idx="3">
                  <c:v>99.6922</c:v>
                </c:pt>
                <c:pt idx="4">
                  <c:v>99.518199999999993</c:v>
                </c:pt>
                <c:pt idx="5">
                  <c:v>99.729699999999994</c:v>
                </c:pt>
                <c:pt idx="6">
                  <c:v>99.724299999999999</c:v>
                </c:pt>
                <c:pt idx="7">
                  <c:v>91.450900000000004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4F4-4577-9C85-DEA608D58426}"/>
            </c:ext>
          </c:extLst>
        </c:ser>
        <c:ser>
          <c:idx val="1"/>
          <c:order val="1"/>
          <c:tx>
            <c:strRef>
              <c:f>'GATK4 Final'!$C$31</c:f>
              <c:strCache>
                <c:ptCount val="1"/>
                <c:pt idx="0">
                  <c:v>CNN_1D &lt; -5.0</c:v>
                </c:pt>
              </c:strCache>
            </c:strRef>
          </c:tx>
          <c:spPr>
            <a:solidFill>
              <a:srgbClr val="A4C2F4"/>
            </a:solidFill>
          </c:spPr>
          <c:invertIfNegative val="1"/>
          <c:cat>
            <c:strRef>
              <c:f>'GATK4 Final'!$A$32:$A$39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Final'!$C$32:$C$39</c:f>
              <c:numCache>
                <c:formatCode>0.0000</c:formatCode>
                <c:ptCount val="8"/>
                <c:pt idx="0">
                  <c:v>99.613100000000003</c:v>
                </c:pt>
                <c:pt idx="1">
                  <c:v>99.689800000000005</c:v>
                </c:pt>
                <c:pt idx="2">
                  <c:v>99.691299999999998</c:v>
                </c:pt>
                <c:pt idx="3">
                  <c:v>99.779499999999999</c:v>
                </c:pt>
                <c:pt idx="4">
                  <c:v>99.5565</c:v>
                </c:pt>
                <c:pt idx="5">
                  <c:v>99.811499999999995</c:v>
                </c:pt>
                <c:pt idx="6">
                  <c:v>99.812799999999996</c:v>
                </c:pt>
                <c:pt idx="7">
                  <c:v>92.351200000000006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4F4-4577-9C85-DEA608D58426}"/>
            </c:ext>
          </c:extLst>
        </c:ser>
        <c:ser>
          <c:idx val="2"/>
          <c:order val="2"/>
          <c:tx>
            <c:strRef>
              <c:f>'GATK4 Final'!$D$31</c:f>
              <c:strCache>
                <c:ptCount val="1"/>
                <c:pt idx="0">
                  <c:v>CNN_1D &lt; -6.0</c:v>
                </c:pt>
              </c:strCache>
            </c:strRef>
          </c:tx>
          <c:spPr>
            <a:solidFill>
              <a:srgbClr val="073763"/>
            </a:solidFill>
          </c:spPr>
          <c:invertIfNegative val="1"/>
          <c:cat>
            <c:strRef>
              <c:f>'GATK4 Final'!$A$32:$A$39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Final'!$D$32:$D$39</c:f>
              <c:numCache>
                <c:formatCode>General</c:formatCode>
                <c:ptCount val="8"/>
                <c:pt idx="0">
                  <c:v>99.596500000000006</c:v>
                </c:pt>
                <c:pt idx="1">
                  <c:v>99.6768</c:v>
                </c:pt>
                <c:pt idx="2">
                  <c:v>99.669499999999999</c:v>
                </c:pt>
                <c:pt idx="3">
                  <c:v>99.762500000000003</c:v>
                </c:pt>
                <c:pt idx="4">
                  <c:v>99.5458</c:v>
                </c:pt>
                <c:pt idx="5">
                  <c:v>99.7898</c:v>
                </c:pt>
                <c:pt idx="6">
                  <c:v>99.793300000000002</c:v>
                </c:pt>
                <c:pt idx="7">
                  <c:v>92.042500000000004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24F4-4577-9C85-DEA608D58426}"/>
            </c:ext>
          </c:extLst>
        </c:ser>
        <c:ser>
          <c:idx val="3"/>
          <c:order val="3"/>
          <c:tx>
            <c:strRef>
              <c:f>'GATK4 Final'!$E$31</c:f>
              <c:strCache>
                <c:ptCount val="1"/>
                <c:pt idx="0">
                  <c:v>CNN_1D &lt; -7.0</c:v>
                </c:pt>
              </c:strCache>
            </c:strRef>
          </c:tx>
          <c:invertIfNegative val="0"/>
          <c:cat>
            <c:strRef>
              <c:f>'GATK4 Final'!$A$32:$A$39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Final'!$E$32:$E$39</c:f>
              <c:numCache>
                <c:formatCode>General</c:formatCode>
                <c:ptCount val="8"/>
                <c:pt idx="0">
                  <c:v>99.576800000000006</c:v>
                </c:pt>
                <c:pt idx="1">
                  <c:v>99.662899999999993</c:v>
                </c:pt>
                <c:pt idx="2">
                  <c:v>99.653000000000006</c:v>
                </c:pt>
                <c:pt idx="3">
                  <c:v>99.741399999999999</c:v>
                </c:pt>
                <c:pt idx="4">
                  <c:v>99.539199999999994</c:v>
                </c:pt>
                <c:pt idx="5">
                  <c:v>99.773600000000002</c:v>
                </c:pt>
                <c:pt idx="6">
                  <c:v>99.770899999999997</c:v>
                </c:pt>
                <c:pt idx="7">
                  <c:v>91.843699999999998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F4-4577-9C85-DEA608D58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86115"/>
        <c:axId val="1940498874"/>
      </c:barChart>
      <c:catAx>
        <c:axId val="7708861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1940498874"/>
        <c:crosses val="autoZero"/>
        <c:auto val="1"/>
        <c:lblAlgn val="ctr"/>
        <c:lblOffset val="100"/>
        <c:noMultiLvlLbl val="1"/>
      </c:catAx>
      <c:valAx>
        <c:axId val="1940498874"/>
        <c:scaling>
          <c:orientation val="minMax"/>
          <c:max val="100"/>
          <c:min val="9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770886115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/>
            </a:pPr>
            <a:r>
              <a:rPr lang="en-US"/>
              <a:t>INDEL</a:t>
            </a:r>
            <a:r>
              <a:rPr lang="en-US" baseline="0"/>
              <a:t> Recall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'GATK4 Final'!$B$41</c:f>
              <c:strCache>
                <c:ptCount val="1"/>
                <c:pt idx="0">
                  <c:v>Unfiltered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'GATK4 Final'!$A$42:$A$49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Final'!$B$42:$B$49</c:f>
              <c:numCache>
                <c:formatCode>General</c:formatCode>
                <c:ptCount val="8"/>
                <c:pt idx="0">
                  <c:v>99.5976</c:v>
                </c:pt>
                <c:pt idx="1">
                  <c:v>99.631699999999995</c:v>
                </c:pt>
                <c:pt idx="2">
                  <c:v>99.6648</c:v>
                </c:pt>
                <c:pt idx="3">
                  <c:v>99.786000000000001</c:v>
                </c:pt>
                <c:pt idx="4">
                  <c:v>99.569500000000005</c:v>
                </c:pt>
                <c:pt idx="5">
                  <c:v>99.844099999999997</c:v>
                </c:pt>
                <c:pt idx="6">
                  <c:v>99.832400000000007</c:v>
                </c:pt>
                <c:pt idx="7">
                  <c:v>86.858599999999996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C51-4648-A558-FE4AA2A72824}"/>
            </c:ext>
          </c:extLst>
        </c:ser>
        <c:ser>
          <c:idx val="1"/>
          <c:order val="1"/>
          <c:tx>
            <c:strRef>
              <c:f>'GATK4 Final'!$C$41</c:f>
              <c:strCache>
                <c:ptCount val="1"/>
                <c:pt idx="0">
                  <c:v>CNN_1D &lt; -5.0</c:v>
                </c:pt>
              </c:strCache>
            </c:strRef>
          </c:tx>
          <c:spPr>
            <a:solidFill>
              <a:srgbClr val="A4C2F4"/>
            </a:solidFill>
          </c:spPr>
          <c:invertIfNegative val="1"/>
          <c:cat>
            <c:strRef>
              <c:f>'GATK4 Final'!$A$42:$A$49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Final'!$C$42:$C$49</c:f>
              <c:numCache>
                <c:formatCode>0.0000</c:formatCode>
                <c:ptCount val="8"/>
                <c:pt idx="0">
                  <c:v>99.568100000000001</c:v>
                </c:pt>
                <c:pt idx="1">
                  <c:v>99.586200000000005</c:v>
                </c:pt>
                <c:pt idx="2">
                  <c:v>99.615399999999994</c:v>
                </c:pt>
                <c:pt idx="3">
                  <c:v>99.710700000000003</c:v>
                </c:pt>
                <c:pt idx="4">
                  <c:v>99.555400000000006</c:v>
                </c:pt>
                <c:pt idx="5">
                  <c:v>99.809799999999996</c:v>
                </c:pt>
                <c:pt idx="6">
                  <c:v>99.797600000000003</c:v>
                </c:pt>
                <c:pt idx="7">
                  <c:v>86.536900000000003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EC51-4648-A558-FE4AA2A72824}"/>
            </c:ext>
          </c:extLst>
        </c:ser>
        <c:ser>
          <c:idx val="2"/>
          <c:order val="2"/>
          <c:tx>
            <c:strRef>
              <c:f>'GATK4 Final'!$D$41</c:f>
              <c:strCache>
                <c:ptCount val="1"/>
                <c:pt idx="0">
                  <c:v>CNN_1D &lt; -6.0</c:v>
                </c:pt>
              </c:strCache>
            </c:strRef>
          </c:tx>
          <c:spPr>
            <a:solidFill>
              <a:srgbClr val="073763"/>
            </a:solidFill>
          </c:spPr>
          <c:invertIfNegative val="1"/>
          <c:cat>
            <c:strRef>
              <c:f>'GATK4 Final'!$A$42:$A$49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Final'!$D$42:$D$49</c:f>
              <c:numCache>
                <c:formatCode>General</c:formatCode>
                <c:ptCount val="8"/>
                <c:pt idx="0">
                  <c:v>99.5886</c:v>
                </c:pt>
                <c:pt idx="1">
                  <c:v>99.614199999999997</c:v>
                </c:pt>
                <c:pt idx="2">
                  <c:v>99.644800000000004</c:v>
                </c:pt>
                <c:pt idx="3">
                  <c:v>99.750900000000001</c:v>
                </c:pt>
                <c:pt idx="4">
                  <c:v>99.566400000000002</c:v>
                </c:pt>
                <c:pt idx="5">
                  <c:v>99.833699999999993</c:v>
                </c:pt>
                <c:pt idx="6">
                  <c:v>99.8185</c:v>
                </c:pt>
                <c:pt idx="7">
                  <c:v>86.739900000000006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EC51-4648-A558-FE4AA2A72824}"/>
            </c:ext>
          </c:extLst>
        </c:ser>
        <c:ser>
          <c:idx val="3"/>
          <c:order val="3"/>
          <c:tx>
            <c:strRef>
              <c:f>'GATK4 Final'!$E$41</c:f>
              <c:strCache>
                <c:ptCount val="1"/>
                <c:pt idx="0">
                  <c:v>CNN_1D &lt; -7.0</c:v>
                </c:pt>
              </c:strCache>
            </c:strRef>
          </c:tx>
          <c:invertIfNegative val="0"/>
          <c:cat>
            <c:strRef>
              <c:f>'GATK4 Final'!$A$42:$A$49</c:f>
              <c:strCache>
                <c:ptCount val="8"/>
                <c:pt idx="0">
                  <c:v>HG001-NA12878-50x</c:v>
                </c:pt>
                <c:pt idx="1">
                  <c:v>HG002-NA24385-50x</c:v>
                </c:pt>
                <c:pt idx="2">
                  <c:v>HG003.hs37d5.60x.1</c:v>
                </c:pt>
                <c:pt idx="3">
                  <c:v>HG004.hs37d5.60x.1</c:v>
                </c:pt>
                <c:pt idx="4">
                  <c:v>HG005.150424_S1</c:v>
                </c:pt>
                <c:pt idx="5">
                  <c:v>HG006.FATHER.filtered</c:v>
                </c:pt>
                <c:pt idx="6">
                  <c:v>HG007.MOTHER.filtered</c:v>
                </c:pt>
                <c:pt idx="7">
                  <c:v>ERR1341796</c:v>
                </c:pt>
              </c:strCache>
            </c:strRef>
          </c:cat>
          <c:val>
            <c:numRef>
              <c:f>'GATK4 Final'!$E$42:$E$49</c:f>
              <c:numCache>
                <c:formatCode>General</c:formatCode>
                <c:ptCount val="8"/>
                <c:pt idx="0">
                  <c:v>99.593800000000002</c:v>
                </c:pt>
                <c:pt idx="1">
                  <c:v>99.625</c:v>
                </c:pt>
                <c:pt idx="2">
                  <c:v>99.658500000000004</c:v>
                </c:pt>
                <c:pt idx="3">
                  <c:v>99.772499999999994</c:v>
                </c:pt>
                <c:pt idx="4">
                  <c:v>99.5685</c:v>
                </c:pt>
                <c:pt idx="5">
                  <c:v>99.839200000000005</c:v>
                </c:pt>
                <c:pt idx="6">
                  <c:v>99.828100000000006</c:v>
                </c:pt>
                <c:pt idx="7">
                  <c:v>86.814999999999998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51-4648-A558-FE4AA2A7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886115"/>
        <c:axId val="1940498874"/>
      </c:barChart>
      <c:catAx>
        <c:axId val="7708861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1940498874"/>
        <c:crosses val="autoZero"/>
        <c:auto val="1"/>
        <c:lblAlgn val="ctr"/>
        <c:lblOffset val="100"/>
        <c:noMultiLvlLbl val="1"/>
      </c:catAx>
      <c:valAx>
        <c:axId val="1940498874"/>
        <c:scaling>
          <c:orientation val="minMax"/>
          <c:max val="100"/>
          <c:min val="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770886115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9524</xdr:colOff>
      <xdr:row>19</xdr:row>
      <xdr:rowOff>190501</xdr:rowOff>
    </xdr:from>
    <xdr:ext cx="6600825" cy="1952624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942974</xdr:colOff>
      <xdr:row>50</xdr:row>
      <xdr:rowOff>19050</xdr:rowOff>
    </xdr:from>
    <xdr:ext cx="6591301" cy="2000249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904874</xdr:colOff>
      <xdr:row>0</xdr:row>
      <xdr:rowOff>0</xdr:rowOff>
    </xdr:from>
    <xdr:ext cx="6524626" cy="18478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9F643105-A708-481F-AF9B-1BBC752B4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952500</xdr:colOff>
      <xdr:row>10</xdr:row>
      <xdr:rowOff>19050</xdr:rowOff>
    </xdr:from>
    <xdr:ext cx="6524626" cy="184785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C2C977B8-D0A7-4C31-95EE-73947BAB0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0</xdr:colOff>
      <xdr:row>30</xdr:row>
      <xdr:rowOff>0</xdr:rowOff>
    </xdr:from>
    <xdr:ext cx="6600825" cy="1952624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4E8A57A3-B8B7-41BE-A136-F4FD7675F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6</xdr:col>
      <xdr:colOff>1</xdr:colOff>
      <xdr:row>40</xdr:row>
      <xdr:rowOff>19050</xdr:rowOff>
    </xdr:from>
    <xdr:ext cx="6591300" cy="16097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3817A887-5A72-4868-B480-679278343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9"/>
  <sheetViews>
    <sheetView tabSelected="1" workbookViewId="0">
      <selection activeCell="A6" sqref="A6"/>
    </sheetView>
  </sheetViews>
  <sheetFormatPr defaultColWidth="14.42578125" defaultRowHeight="15.75" customHeight="1" x14ac:dyDescent="0.2"/>
  <cols>
    <col min="1" max="1" width="26.85546875" customWidth="1"/>
    <col min="3" max="3" width="14.42578125" style="8"/>
  </cols>
  <sheetData>
    <row r="1" spans="1:5" ht="15.75" customHeight="1" x14ac:dyDescent="0.2">
      <c r="A1" s="4" t="s">
        <v>0</v>
      </c>
      <c r="B1" s="5" t="s">
        <v>1</v>
      </c>
      <c r="C1" s="7" t="s">
        <v>2</v>
      </c>
      <c r="D1" s="5" t="s">
        <v>3</v>
      </c>
      <c r="E1" s="5" t="s">
        <v>4</v>
      </c>
    </row>
    <row r="2" spans="1:5" ht="15.75" customHeight="1" x14ac:dyDescent="0.2">
      <c r="A2" s="1" t="s">
        <v>5</v>
      </c>
      <c r="B2">
        <v>99.7804</v>
      </c>
      <c r="C2" s="6">
        <v>99.881699999999995</v>
      </c>
      <c r="D2">
        <v>99.856899999999996</v>
      </c>
      <c r="E2">
        <v>99.832300000000004</v>
      </c>
    </row>
    <row r="3" spans="1:5" ht="15.75" customHeight="1" x14ac:dyDescent="0.2">
      <c r="A3" s="1" t="s">
        <v>6</v>
      </c>
      <c r="B3">
        <v>99.803799999999995</v>
      </c>
      <c r="C3" s="6">
        <v>99.915000000000006</v>
      </c>
      <c r="D3">
        <v>99.888800000000003</v>
      </c>
      <c r="E3">
        <v>99.864199999999997</v>
      </c>
    </row>
    <row r="4" spans="1:5" ht="15.75" customHeight="1" x14ac:dyDescent="0.2">
      <c r="A4" s="1" t="s">
        <v>7</v>
      </c>
      <c r="B4">
        <v>99.764700000000005</v>
      </c>
      <c r="C4" s="6">
        <v>99.888099999999994</v>
      </c>
      <c r="D4">
        <v>99.858199999999997</v>
      </c>
      <c r="E4">
        <v>99.831199999999995</v>
      </c>
    </row>
    <row r="5" spans="1:5" ht="15.75" customHeight="1" x14ac:dyDescent="0.2">
      <c r="A5" s="1" t="s">
        <v>8</v>
      </c>
      <c r="B5">
        <v>99.744299999999996</v>
      </c>
      <c r="C5" s="6">
        <v>99.898099999999999</v>
      </c>
      <c r="D5">
        <v>99.865300000000005</v>
      </c>
      <c r="E5">
        <v>99.8339</v>
      </c>
    </row>
    <row r="6" spans="1:5" ht="15.75" customHeight="1" x14ac:dyDescent="0.2">
      <c r="A6" s="1" t="s">
        <v>9</v>
      </c>
      <c r="B6">
        <v>99.821200000000005</v>
      </c>
      <c r="C6" s="6">
        <v>99.869699999999995</v>
      </c>
      <c r="D6">
        <v>99.860399999999998</v>
      </c>
      <c r="E6">
        <v>99.849000000000004</v>
      </c>
    </row>
    <row r="7" spans="1:5" ht="15.75" customHeight="1" x14ac:dyDescent="0.2">
      <c r="A7" s="1" t="s">
        <v>10</v>
      </c>
      <c r="B7">
        <v>99.803899999999999</v>
      </c>
      <c r="C7" s="6">
        <v>99.918599999999998</v>
      </c>
      <c r="D7">
        <v>99.893900000000002</v>
      </c>
      <c r="E7">
        <v>99.871600000000001</v>
      </c>
    </row>
    <row r="8" spans="1:5" ht="15.75" customHeight="1" x14ac:dyDescent="0.2">
      <c r="A8" s="1" t="s">
        <v>11</v>
      </c>
      <c r="B8">
        <v>99.806399999999996</v>
      </c>
      <c r="C8" s="6">
        <v>99.9251</v>
      </c>
      <c r="D8">
        <v>99.899299999999997</v>
      </c>
      <c r="E8">
        <v>99.873199999999997</v>
      </c>
    </row>
    <row r="9" spans="1:5" ht="15.75" customHeight="1" x14ac:dyDescent="0.2">
      <c r="A9" s="1" t="s">
        <v>12</v>
      </c>
      <c r="B9">
        <v>98.431700000000006</v>
      </c>
      <c r="C9" s="6">
        <v>99.049800000000005</v>
      </c>
      <c r="D9">
        <v>98.920599999999993</v>
      </c>
      <c r="E9">
        <v>98.798900000000003</v>
      </c>
    </row>
    <row r="10" spans="1:5" ht="15.75" customHeight="1" x14ac:dyDescent="0.2">
      <c r="A10" s="1"/>
      <c r="B10" s="2"/>
      <c r="C10" s="6"/>
      <c r="D10" s="3"/>
    </row>
    <row r="11" spans="1:5" ht="15.75" customHeight="1" x14ac:dyDescent="0.2">
      <c r="A11" s="4" t="s">
        <v>13</v>
      </c>
      <c r="B11" s="4" t="str">
        <f>B$1</f>
        <v>Unfiltered</v>
      </c>
      <c r="C11" s="7" t="str">
        <f>C$1</f>
        <v>CNN_1D &lt; -5.0</v>
      </c>
      <c r="D11" s="4" t="str">
        <f>D$1</f>
        <v>CNN_1D &lt; -6.0</v>
      </c>
      <c r="E11" s="4" t="str">
        <f>E$1</f>
        <v>CNN_1D &lt; -7.0</v>
      </c>
    </row>
    <row r="12" spans="1:5" ht="15.75" customHeight="1" x14ac:dyDescent="0.2">
      <c r="A12" s="1" t="s">
        <v>5</v>
      </c>
      <c r="B12">
        <v>99.970299999999995</v>
      </c>
      <c r="C12" s="6">
        <v>99.908000000000001</v>
      </c>
      <c r="D12">
        <v>99.950800000000001</v>
      </c>
      <c r="E12">
        <v>99.964500000000001</v>
      </c>
    </row>
    <row r="13" spans="1:5" ht="15.75" customHeight="1" x14ac:dyDescent="0.2">
      <c r="A13" s="1" t="s">
        <v>6</v>
      </c>
      <c r="B13">
        <v>99.946200000000005</v>
      </c>
      <c r="C13" s="6">
        <v>99.842500000000001</v>
      </c>
      <c r="D13">
        <v>99.905600000000007</v>
      </c>
      <c r="E13">
        <v>99.931299999999993</v>
      </c>
    </row>
    <row r="14" spans="1:5" ht="15.75" customHeight="1" x14ac:dyDescent="0.2">
      <c r="A14" s="1" t="s">
        <v>7</v>
      </c>
      <c r="B14">
        <v>99.952200000000005</v>
      </c>
      <c r="C14" s="6">
        <v>99.829099999999997</v>
      </c>
      <c r="D14">
        <v>99.905100000000004</v>
      </c>
      <c r="E14">
        <v>99.934899999999999</v>
      </c>
    </row>
    <row r="15" spans="1:5" ht="15.75" customHeight="1" x14ac:dyDescent="0.2">
      <c r="A15" s="1" t="s">
        <v>8</v>
      </c>
      <c r="B15">
        <v>99.960899999999995</v>
      </c>
      <c r="C15" s="6">
        <v>99.764600000000002</v>
      </c>
      <c r="D15">
        <v>99.8797</v>
      </c>
      <c r="E15">
        <v>99.930899999999994</v>
      </c>
    </row>
    <row r="16" spans="1:5" ht="15.75" customHeight="1" x14ac:dyDescent="0.2">
      <c r="A16" s="1" t="s">
        <v>9</v>
      </c>
      <c r="B16">
        <v>99.933300000000003</v>
      </c>
      <c r="C16" s="6">
        <v>99.908699999999996</v>
      </c>
      <c r="D16">
        <v>99.926599999999993</v>
      </c>
      <c r="E16">
        <v>99.931799999999996</v>
      </c>
    </row>
    <row r="17" spans="1:5" ht="15.75" customHeight="1" x14ac:dyDescent="0.2">
      <c r="A17" s="1" t="s">
        <v>10</v>
      </c>
      <c r="B17">
        <v>99.971100000000007</v>
      </c>
      <c r="C17" s="6">
        <v>99.894099999999995</v>
      </c>
      <c r="D17">
        <v>99.944500000000005</v>
      </c>
      <c r="E17">
        <v>99.960999999999999</v>
      </c>
    </row>
    <row r="18" spans="1:5" ht="15.75" customHeight="1" x14ac:dyDescent="0.2">
      <c r="A18" s="1" t="s">
        <v>11</v>
      </c>
      <c r="B18">
        <v>99.973299999999995</v>
      </c>
      <c r="C18" s="6">
        <v>99.896799999999999</v>
      </c>
      <c r="D18">
        <v>99.947400000000002</v>
      </c>
      <c r="E18">
        <v>99.965699999999998</v>
      </c>
    </row>
    <row r="19" spans="1:5" ht="15.75" customHeight="1" x14ac:dyDescent="0.2">
      <c r="A19" s="1" t="s">
        <v>12</v>
      </c>
      <c r="B19">
        <v>98.290599999999998</v>
      </c>
      <c r="C19" s="6">
        <v>98.008200000000002</v>
      </c>
      <c r="D19">
        <v>98.160700000000006</v>
      </c>
      <c r="E19">
        <v>98.234800000000007</v>
      </c>
    </row>
    <row r="20" spans="1:5" ht="15.75" customHeight="1" x14ac:dyDescent="0.2">
      <c r="A20" s="1"/>
      <c r="B20" s="2"/>
      <c r="C20" s="6"/>
      <c r="D20" s="3"/>
    </row>
    <row r="21" spans="1:5" ht="15.75" customHeight="1" x14ac:dyDescent="0.2">
      <c r="A21" s="4" t="s">
        <v>14</v>
      </c>
      <c r="B21" s="4" t="str">
        <f>B$1</f>
        <v>Unfiltered</v>
      </c>
      <c r="C21" s="7" t="str">
        <f>C$1</f>
        <v>CNN_1D &lt; -5.0</v>
      </c>
      <c r="D21" s="4" t="str">
        <f>D$1</f>
        <v>CNN_1D &lt; -6.0</v>
      </c>
      <c r="E21" s="4" t="str">
        <f>E$1</f>
        <v>CNN_1D &lt; -7.0</v>
      </c>
    </row>
    <row r="22" spans="1:5" ht="15.75" customHeight="1" x14ac:dyDescent="0.2">
      <c r="A22" s="1" t="s">
        <v>5</v>
      </c>
      <c r="B22">
        <v>99.875200000000007</v>
      </c>
      <c r="C22" s="6">
        <v>99.894800000000004</v>
      </c>
      <c r="D22">
        <v>99.903800000000004</v>
      </c>
      <c r="E22">
        <v>99.898399999999995</v>
      </c>
    </row>
    <row r="23" spans="1:5" ht="15.75" customHeight="1" x14ac:dyDescent="0.2">
      <c r="A23" s="1" t="s">
        <v>6</v>
      </c>
      <c r="B23">
        <v>99.874899999999997</v>
      </c>
      <c r="C23" s="6">
        <v>99.878799999999998</v>
      </c>
      <c r="D23">
        <v>99.897199999999998</v>
      </c>
      <c r="E23">
        <v>99.8977</v>
      </c>
    </row>
    <row r="24" spans="1:5" ht="15.75" customHeight="1" x14ac:dyDescent="0.2">
      <c r="A24" s="1" t="s">
        <v>7</v>
      </c>
      <c r="B24">
        <v>99.8583</v>
      </c>
      <c r="C24" s="6">
        <v>99.858599999999996</v>
      </c>
      <c r="D24">
        <v>99.881699999999995</v>
      </c>
      <c r="E24">
        <v>99.882999999999996</v>
      </c>
    </row>
    <row r="25" spans="1:5" ht="15.75" customHeight="1" x14ac:dyDescent="0.2">
      <c r="A25" s="1" t="s">
        <v>8</v>
      </c>
      <c r="B25">
        <v>99.852500000000006</v>
      </c>
      <c r="C25" s="6">
        <v>99.831299999999999</v>
      </c>
      <c r="D25">
        <v>99.872500000000002</v>
      </c>
      <c r="E25">
        <v>99.882400000000004</v>
      </c>
    </row>
    <row r="26" spans="1:5" ht="15.75" customHeight="1" x14ac:dyDescent="0.2">
      <c r="A26" s="1" t="s">
        <v>9</v>
      </c>
      <c r="B26">
        <v>99.877200000000002</v>
      </c>
      <c r="C26" s="6">
        <v>99.889200000000002</v>
      </c>
      <c r="D26">
        <v>99.893500000000003</v>
      </c>
      <c r="E26">
        <v>99.8904</v>
      </c>
    </row>
    <row r="27" spans="1:5" ht="15.75" customHeight="1" x14ac:dyDescent="0.2">
      <c r="A27" s="1" t="s">
        <v>10</v>
      </c>
      <c r="B27">
        <v>99.887500000000003</v>
      </c>
      <c r="C27" s="6">
        <v>99.906300000000002</v>
      </c>
      <c r="D27">
        <v>99.919200000000004</v>
      </c>
      <c r="E27">
        <v>99.916300000000007</v>
      </c>
    </row>
    <row r="28" spans="1:5" ht="15.75" customHeight="1" x14ac:dyDescent="0.2">
      <c r="A28" s="1" t="s">
        <v>11</v>
      </c>
      <c r="B28">
        <v>99.889700000000005</v>
      </c>
      <c r="C28" s="6">
        <v>99.910899999999998</v>
      </c>
      <c r="D28">
        <v>99.923299999999998</v>
      </c>
      <c r="E28">
        <v>99.919399999999996</v>
      </c>
    </row>
    <row r="29" spans="1:5" ht="15.75" customHeight="1" x14ac:dyDescent="0.2">
      <c r="A29" s="1" t="s">
        <v>12</v>
      </c>
      <c r="B29">
        <v>98.361099999999993</v>
      </c>
      <c r="C29" s="6">
        <v>98.526200000000003</v>
      </c>
      <c r="D29">
        <v>98.539199999999994</v>
      </c>
      <c r="E29">
        <v>98.516099999999994</v>
      </c>
    </row>
    <row r="30" spans="1:5" ht="15.75" customHeight="1" x14ac:dyDescent="0.2">
      <c r="A30" s="1"/>
      <c r="B30" s="2"/>
      <c r="C30" s="6"/>
      <c r="D30" s="3"/>
    </row>
    <row r="31" spans="1:5" ht="15.75" customHeight="1" x14ac:dyDescent="0.2">
      <c r="A31" s="4" t="s">
        <v>15</v>
      </c>
      <c r="B31" s="4" t="str">
        <f>B$1</f>
        <v>Unfiltered</v>
      </c>
      <c r="C31" s="7" t="str">
        <f>C$1</f>
        <v>CNN_1D &lt; -5.0</v>
      </c>
      <c r="D31" s="4" t="str">
        <f>D$1</f>
        <v>CNN_1D &lt; -6.0</v>
      </c>
      <c r="E31" s="4" t="str">
        <f>E$1</f>
        <v>CNN_1D &lt; -7.0</v>
      </c>
    </row>
    <row r="32" spans="1:5" ht="15.75" customHeight="1" x14ac:dyDescent="0.2">
      <c r="A32" s="1" t="s">
        <v>5</v>
      </c>
      <c r="B32">
        <v>99.5364</v>
      </c>
      <c r="C32" s="6">
        <v>99.613100000000003</v>
      </c>
      <c r="D32">
        <v>99.596500000000006</v>
      </c>
      <c r="E32">
        <v>99.576800000000006</v>
      </c>
    </row>
    <row r="33" spans="1:5" ht="15.75" customHeight="1" x14ac:dyDescent="0.2">
      <c r="A33" s="1" t="s">
        <v>6</v>
      </c>
      <c r="B33">
        <v>99.625399999999999</v>
      </c>
      <c r="C33" s="6">
        <v>99.689800000000005</v>
      </c>
      <c r="D33">
        <v>99.6768</v>
      </c>
      <c r="E33">
        <v>99.662899999999993</v>
      </c>
    </row>
    <row r="34" spans="1:5" ht="15.75" customHeight="1" x14ac:dyDescent="0.2">
      <c r="A34" s="1" t="s">
        <v>7</v>
      </c>
      <c r="B34">
        <v>99.619500000000002</v>
      </c>
      <c r="C34" s="6">
        <v>99.691299999999998</v>
      </c>
      <c r="D34">
        <v>99.669499999999999</v>
      </c>
      <c r="E34">
        <v>99.653000000000006</v>
      </c>
    </row>
    <row r="35" spans="1:5" ht="15.75" customHeight="1" x14ac:dyDescent="0.2">
      <c r="A35" s="1" t="s">
        <v>8</v>
      </c>
      <c r="B35">
        <v>99.6922</v>
      </c>
      <c r="C35" s="6">
        <v>99.779499999999999</v>
      </c>
      <c r="D35">
        <v>99.762500000000003</v>
      </c>
      <c r="E35">
        <v>99.741399999999999</v>
      </c>
    </row>
    <row r="36" spans="1:5" ht="15.75" customHeight="1" x14ac:dyDescent="0.2">
      <c r="A36" s="1" t="s">
        <v>9</v>
      </c>
      <c r="B36">
        <v>99.518199999999993</v>
      </c>
      <c r="C36" s="6">
        <v>99.5565</v>
      </c>
      <c r="D36">
        <v>99.5458</v>
      </c>
      <c r="E36">
        <v>99.539199999999994</v>
      </c>
    </row>
    <row r="37" spans="1:5" ht="15.75" customHeight="1" x14ac:dyDescent="0.2">
      <c r="A37" s="1" t="s">
        <v>10</v>
      </c>
      <c r="B37">
        <v>99.729699999999994</v>
      </c>
      <c r="C37" s="6">
        <v>99.811499999999995</v>
      </c>
      <c r="D37">
        <v>99.7898</v>
      </c>
      <c r="E37">
        <v>99.773600000000002</v>
      </c>
    </row>
    <row r="38" spans="1:5" ht="15.75" customHeight="1" x14ac:dyDescent="0.2">
      <c r="A38" s="1" t="s">
        <v>11</v>
      </c>
      <c r="B38">
        <v>99.724299999999999</v>
      </c>
      <c r="C38" s="6">
        <v>99.812799999999996</v>
      </c>
      <c r="D38">
        <v>99.793300000000002</v>
      </c>
      <c r="E38">
        <v>99.770899999999997</v>
      </c>
    </row>
    <row r="39" spans="1:5" ht="15.75" customHeight="1" x14ac:dyDescent="0.2">
      <c r="A39" s="1" t="s">
        <v>12</v>
      </c>
      <c r="B39">
        <v>91.450900000000004</v>
      </c>
      <c r="C39" s="6">
        <v>92.351200000000006</v>
      </c>
      <c r="D39">
        <v>92.042500000000004</v>
      </c>
      <c r="E39">
        <v>91.843699999999998</v>
      </c>
    </row>
    <row r="40" spans="1:5" ht="15.75" customHeight="1" x14ac:dyDescent="0.2">
      <c r="A40" s="1"/>
      <c r="B40" s="2"/>
      <c r="C40" s="6"/>
      <c r="D40" s="3"/>
    </row>
    <row r="41" spans="1:5" ht="15.75" customHeight="1" x14ac:dyDescent="0.2">
      <c r="A41" s="4" t="s">
        <v>16</v>
      </c>
      <c r="B41" s="4" t="str">
        <f>B$1</f>
        <v>Unfiltered</v>
      </c>
      <c r="C41" s="7" t="str">
        <f>C$1</f>
        <v>CNN_1D &lt; -5.0</v>
      </c>
      <c r="D41" s="4" t="str">
        <f>D$1</f>
        <v>CNN_1D &lt; -6.0</v>
      </c>
      <c r="E41" s="4" t="str">
        <f>E$1</f>
        <v>CNN_1D &lt; -7.0</v>
      </c>
    </row>
    <row r="42" spans="1:5" ht="12.75" x14ac:dyDescent="0.2">
      <c r="A42" s="1" t="s">
        <v>5</v>
      </c>
      <c r="B42">
        <v>99.5976</v>
      </c>
      <c r="C42" s="6">
        <v>99.568100000000001</v>
      </c>
      <c r="D42">
        <v>99.5886</v>
      </c>
      <c r="E42">
        <v>99.593800000000002</v>
      </c>
    </row>
    <row r="43" spans="1:5" ht="12.75" x14ac:dyDescent="0.2">
      <c r="A43" s="1" t="s">
        <v>6</v>
      </c>
      <c r="B43">
        <v>99.631699999999995</v>
      </c>
      <c r="C43" s="6">
        <v>99.586200000000005</v>
      </c>
      <c r="D43">
        <v>99.614199999999997</v>
      </c>
      <c r="E43">
        <v>99.625</v>
      </c>
    </row>
    <row r="44" spans="1:5" ht="12.75" x14ac:dyDescent="0.2">
      <c r="A44" s="1" t="s">
        <v>7</v>
      </c>
      <c r="B44">
        <v>99.6648</v>
      </c>
      <c r="C44" s="6">
        <v>99.615399999999994</v>
      </c>
      <c r="D44">
        <v>99.644800000000004</v>
      </c>
      <c r="E44">
        <v>99.658500000000004</v>
      </c>
    </row>
    <row r="45" spans="1:5" ht="12.75" x14ac:dyDescent="0.2">
      <c r="A45" s="1" t="s">
        <v>8</v>
      </c>
      <c r="B45">
        <v>99.786000000000001</v>
      </c>
      <c r="C45" s="6">
        <v>99.710700000000003</v>
      </c>
      <c r="D45">
        <v>99.750900000000001</v>
      </c>
      <c r="E45">
        <v>99.772499999999994</v>
      </c>
    </row>
    <row r="46" spans="1:5" ht="12.75" x14ac:dyDescent="0.2">
      <c r="A46" s="1" t="s">
        <v>9</v>
      </c>
      <c r="B46">
        <v>99.569500000000005</v>
      </c>
      <c r="C46" s="6">
        <v>99.555400000000006</v>
      </c>
      <c r="D46">
        <v>99.566400000000002</v>
      </c>
      <c r="E46">
        <v>99.5685</v>
      </c>
    </row>
    <row r="47" spans="1:5" ht="12.75" x14ac:dyDescent="0.2">
      <c r="A47" s="1" t="s">
        <v>10</v>
      </c>
      <c r="B47">
        <v>99.844099999999997</v>
      </c>
      <c r="C47" s="6">
        <v>99.809799999999996</v>
      </c>
      <c r="D47">
        <v>99.833699999999993</v>
      </c>
      <c r="E47">
        <v>99.839200000000005</v>
      </c>
    </row>
    <row r="48" spans="1:5" ht="12.75" x14ac:dyDescent="0.2">
      <c r="A48" s="1" t="s">
        <v>11</v>
      </c>
      <c r="B48">
        <v>99.832400000000007</v>
      </c>
      <c r="C48" s="6">
        <v>99.797600000000003</v>
      </c>
      <c r="D48">
        <v>99.8185</v>
      </c>
      <c r="E48">
        <v>99.828100000000006</v>
      </c>
    </row>
    <row r="49" spans="1:5" ht="12.75" x14ac:dyDescent="0.2">
      <c r="A49" s="1" t="s">
        <v>12</v>
      </c>
      <c r="B49">
        <v>86.858599999999996</v>
      </c>
      <c r="C49" s="6">
        <v>86.536900000000003</v>
      </c>
      <c r="D49">
        <v>86.739900000000006</v>
      </c>
      <c r="E49">
        <v>86.814999999999998</v>
      </c>
    </row>
    <row r="50" spans="1:5" ht="12.75" x14ac:dyDescent="0.2">
      <c r="A50" s="1"/>
      <c r="B50" s="2"/>
      <c r="C50" s="6"/>
      <c r="D50" s="3"/>
    </row>
    <row r="51" spans="1:5" ht="12.75" x14ac:dyDescent="0.2">
      <c r="A51" s="4" t="s">
        <v>17</v>
      </c>
      <c r="B51" s="4" t="str">
        <f>B$1</f>
        <v>Unfiltered</v>
      </c>
      <c r="C51" s="7" t="str">
        <f>C$1</f>
        <v>CNN_1D &lt; -5.0</v>
      </c>
      <c r="D51" s="4" t="str">
        <f>D$1</f>
        <v>CNN_1D &lt; -6.0</v>
      </c>
      <c r="E51" s="4" t="str">
        <f>E$1</f>
        <v>CNN_1D &lt; -7.0</v>
      </c>
    </row>
    <row r="52" spans="1:5" ht="12.75" x14ac:dyDescent="0.2">
      <c r="A52" s="1" t="s">
        <v>5</v>
      </c>
      <c r="B52">
        <v>99.566999999999993</v>
      </c>
      <c r="C52" s="6">
        <v>99.590599999999995</v>
      </c>
      <c r="D52">
        <v>99.592500000000001</v>
      </c>
      <c r="E52">
        <v>99.585300000000004</v>
      </c>
    </row>
    <row r="53" spans="1:5" ht="12.75" x14ac:dyDescent="0.2">
      <c r="A53" s="1" t="s">
        <v>6</v>
      </c>
      <c r="B53">
        <v>99.628500000000003</v>
      </c>
      <c r="C53" s="6">
        <v>99.638000000000005</v>
      </c>
      <c r="D53">
        <v>99.645499999999998</v>
      </c>
      <c r="E53">
        <v>99.643900000000002</v>
      </c>
    </row>
    <row r="54" spans="1:5" ht="12.75" x14ac:dyDescent="0.2">
      <c r="A54" s="1" t="s">
        <v>7</v>
      </c>
      <c r="B54">
        <v>99.642099999999999</v>
      </c>
      <c r="C54" s="6">
        <v>99.653300000000002</v>
      </c>
      <c r="D54">
        <v>99.6571</v>
      </c>
      <c r="E54">
        <v>99.655799999999999</v>
      </c>
    </row>
    <row r="55" spans="1:5" ht="12.75" x14ac:dyDescent="0.2">
      <c r="A55" s="1" t="s">
        <v>8</v>
      </c>
      <c r="B55">
        <v>99.739099999999993</v>
      </c>
      <c r="C55" s="6">
        <v>99.745099999999994</v>
      </c>
      <c r="D55">
        <v>99.756699999999995</v>
      </c>
      <c r="E55">
        <v>99.757000000000005</v>
      </c>
    </row>
    <row r="56" spans="1:5" ht="12.75" x14ac:dyDescent="0.2">
      <c r="A56" s="1" t="s">
        <v>9</v>
      </c>
      <c r="B56">
        <v>99.543899999999994</v>
      </c>
      <c r="C56" s="6">
        <v>99.555899999999994</v>
      </c>
      <c r="D56">
        <v>99.556100000000001</v>
      </c>
      <c r="E56">
        <v>99.553799999999995</v>
      </c>
    </row>
    <row r="57" spans="1:5" ht="12.75" x14ac:dyDescent="0.2">
      <c r="A57" s="1" t="s">
        <v>10</v>
      </c>
      <c r="B57">
        <v>99.786799999999999</v>
      </c>
      <c r="C57" s="6">
        <v>99.810599999999994</v>
      </c>
      <c r="D57">
        <v>99.811700000000002</v>
      </c>
      <c r="E57">
        <v>99.806399999999996</v>
      </c>
    </row>
    <row r="58" spans="1:5" ht="12.75" x14ac:dyDescent="0.2">
      <c r="A58" s="1" t="s">
        <v>11</v>
      </c>
      <c r="B58">
        <v>99.778300000000002</v>
      </c>
      <c r="C58" s="6">
        <v>99.805199999999999</v>
      </c>
      <c r="D58">
        <v>99.805899999999994</v>
      </c>
      <c r="E58">
        <v>99.799499999999995</v>
      </c>
    </row>
    <row r="59" spans="1:5" ht="12.75" x14ac:dyDescent="0.2">
      <c r="A59" s="1" t="s">
        <v>12</v>
      </c>
      <c r="B59">
        <v>89.095600000000005</v>
      </c>
      <c r="C59" s="6">
        <v>89.349500000000006</v>
      </c>
      <c r="D59">
        <v>89.312600000000003</v>
      </c>
      <c r="E59">
        <v>89.258600000000001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GATK4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Nikola Pejic</cp:lastModifiedBy>
  <cp:revision/>
  <dcterms:created xsi:type="dcterms:W3CDTF">2019-04-25T14:12:15Z</dcterms:created>
  <dcterms:modified xsi:type="dcterms:W3CDTF">2019-05-10T17:05:11Z</dcterms:modified>
  <cp:category/>
  <cp:contentStatus/>
</cp:coreProperties>
</file>